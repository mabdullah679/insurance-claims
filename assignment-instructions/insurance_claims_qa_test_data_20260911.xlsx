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1f97ae0cd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Guide" sheetId="1" r:id="R4c19fbac4d3a44f6"/>
    <x:sheet xmlns:r="http://schemas.openxmlformats.org/officeDocument/2006/relationships" name="Claims_Input" sheetId="2" r:id="R543ee19f003141b0"/>
    <x:sheet xmlns:r="http://schemas.openxmlformats.org/officeDocument/2006/relationships" name="Customers_QA" sheetId="3" r:id="R53d49f03eb754bbe"/>
    <x:sheet xmlns:r="http://schemas.openxmlformats.org/officeDocument/2006/relationships" name="Policies_QA" sheetId="4" r:id="Rd71d72b6b77b404e"/>
    <x:sheet xmlns:r="http://schemas.openxmlformats.org/officeDocument/2006/relationships" name="Expected_Kafka" sheetId="5" r:id="R0a7b6ba802b34af9"/>
    <x:sheet xmlns:r="http://schemas.openxmlformats.org/officeDocument/2006/relationships" name="Audit" sheetId="6" r:id="R43fbce7cf281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7324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80ED"/>
      </x:patternFill>
    </x:fill>
    <x:fill>
      <x:patternFill patternType="solid">
        <x:fgColor rgb="FF159A9C"/>
      </x:patternFill>
    </x:fill>
    <x:fill>
      <x:patternFill patternType="solid">
        <x:fgColor rgb="FFFFF7E0"/>
      </x:patternFill>
    </x:fill>
  </x:fills>
  <x:borders count="2">
    <x:border/>
    <x:border>
      <x:left style="thin">
        <x:color rgb="FFDDE6EE"/>
      </x:left>
      <x:right style="thin">
        <x:color rgb="FFDDE6EE"/>
      </x:right>
      <x:top style="thin">
        <x:color rgb="FFDDE6EE"/>
      </x:top>
      <x:bottom style="thin">
        <x:color rgb="FFDDE6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/>
    <x:xf numFmtId="201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/>
    <x:xf numFmtId="202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ill>
        <x:patternFill patternType="solid">
          <x:bgColor rgb="FFF4F7FA"/>
        </x:patternFill>
      </x:fill>
    </x:dxf>
    <x:dxf>
      <x:fill>
        <x:patternFill patternType="solid">
          <x:bgColor rgb="FFF4F7FA"/>
        </x:patternFill>
      </x:fill>
    </x:dxf>
    <x:dxf>
      <x:fill>
        <x:patternFill patternType="solid">
          <x:bgColor rgb="FFF4F7FA"/>
        </x:patternFill>
      </x:fill>
    </x:dxf>
    <x:dxf>
      <x:fill>
        <x:patternFill patternType="solid">
          <x:bgColor rgb="FFF4F7FA"/>
        </x:patternFill>
      </x:fill>
    </x:dxf>
    <x:dxf>
      <x:fill>
        <x:patternFill patternType="solid">
          <x:bgColor rgb="FFF4F7FA"/>
        </x:patternFill>
      </x:fill>
    </x:dxf>
    <x:dxf>
      <x:fill>
        <x:patternFill patternType="solid">
          <x:bgColor rgb="FFF4F7FA"/>
        </x:patternFill>
      </x:fill>
    </x:dxf>
    <x:dxf>
      <x:font>
        <x:b/>
        <x:color rgb="FF176B3A"/>
      </x:font>
      <x:fill>
        <x:patternFill patternType="solid">
          <x:bgColor rgb="FFE8F7EF"/>
        </x:patternFill>
      </x:fill>
    </x:dxf>
    <x:dxf>
      <x:font>
        <x:b/>
        <x:color rgb="FFC0392B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b989122d24d93" /><Relationship Type="http://schemas.openxmlformats.org/officeDocument/2006/relationships/theme" Target="/xl/theme/theme1.xml" Id="R7b24a25aecb64962" /><Relationship Type="http://schemas.openxmlformats.org/officeDocument/2006/relationships/sharedStrings" Target="/xl/sharedStrings.xml" Id="R589d3c67d7794f7d" /><Relationship Type="http://schemas.openxmlformats.org/officeDocument/2006/relationships/worksheet" Target="/xl/worksheets/sheet1.xml" Id="R4c19fbac4d3a44f6" /><Relationship Type="http://schemas.openxmlformats.org/officeDocument/2006/relationships/worksheet" Target="/xl/worksheets/sheet2.xml" Id="R543ee19f003141b0" /><Relationship Type="http://schemas.openxmlformats.org/officeDocument/2006/relationships/worksheet" Target="/xl/worksheets/sheet3.xml" Id="R53d49f03eb754bbe" /><Relationship Type="http://schemas.openxmlformats.org/officeDocument/2006/relationships/worksheet" Target="/xl/worksheets/sheet4.xml" Id="Rd71d72b6b77b404e" /><Relationship Type="http://schemas.openxmlformats.org/officeDocument/2006/relationships/worksheet" Target="/xl/worksheets/sheet5.xml" Id="R0a7b6ba802b34af9" /><Relationship Type="http://schemas.openxmlformats.org/officeDocument/2006/relationships/worksheet" Target="/xl/worksheets/sheet6.xml" Id="R43fbce7cf281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39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0" customHeight="1">
      <x:c r="A1" s="20" t="str">
        <x:v>Insurance Claims DAG | QA Test Data</x:v>
      </x:c>
      <x:c r="B1" s="28"/>
      <x:c r="C1" s="28"/>
      <x:c r="D1" s="28"/>
      <x:c r="E1" s="28"/>
      <x:c r="F1" s="28"/>
    </x:row>
    <x:row r="2">
      <x:c r="A2" s="28"/>
      <x:c r="B2" s="28"/>
      <x:c r="C2" s="28"/>
      <x:c r="D2" s="28"/>
      <x:c r="E2" s="28"/>
      <x:c r="F2" s="28"/>
    </x:row>
    <x:row r="3">
      <x:c r="A3" s="29" t="str">
        <x:v>Processing date</x:v>
      </x:c>
      <x:c r="B3" s="30" t="n">
        <x:v>46276</x:v>
      </x:c>
      <x:c r="C3" s="28"/>
      <x:c r="D3" s="28"/>
      <x:c r="E3" s="28"/>
      <x:c r="F3" s="28"/>
    </x:row>
    <x:row r="4">
      <x:c r="A4" s="29" t="str">
        <x:v>Expected input filename</x:v>
      </x:c>
      <x:c r="B4" s="31" t="str">
        <x:v>claims_20260911.csv</x:v>
      </x:c>
      <x:c r="C4" s="28"/>
      <x:c r="D4" s="28"/>
      <x:c r="E4" s="28"/>
      <x:c r="F4" s="28"/>
    </x:row>
    <x:row r="5">
      <x:c r="A5" s="29" t="str">
        <x:v>Record count</x:v>
      </x:c>
      <x:c r="B5" s="31" t="n">
        <x:v>5</x:v>
      </x:c>
      <x:c r="C5" s="28"/>
      <x:c r="D5" s="28"/>
      <x:c r="E5" s="28"/>
      <x:c r="F5" s="28"/>
    </x:row>
    <x:row r="6">
      <x:c r="A6" s="29" t="str">
        <x:v>Kafka topic</x:v>
      </x:c>
      <x:c r="B6" s="31" t="str">
        <x:v>insurance.claims.processed</x:v>
      </x:c>
      <x:c r="C6" s="28"/>
      <x:c r="D6" s="28"/>
      <x:c r="E6" s="28"/>
      <x:c r="F6" s="28"/>
    </x:row>
    <x:row r="7">
      <x:c r="A7" s="29" t="str">
        <x:v>Expected DAG outcome</x:v>
      </x:c>
      <x:c r="B7" s="31" t="str">
        <x:v>SUCCESS</x:v>
      </x:c>
      <x:c r="C7" s="28"/>
      <x:c r="D7" s="28"/>
      <x:c r="E7" s="28"/>
      <x:c r="F7" s="28"/>
    </x:row>
    <x:row r="8">
      <x:c r="A8" s="29" t="str">
        <x:v>Record-level rejections</x:v>
      </x:c>
      <x:c r="B8" s="31" t="n">
        <x:v>0</x:v>
      </x:c>
      <x:c r="C8" s="28"/>
      <x:c r="D8" s="28"/>
      <x:c r="E8" s="28"/>
      <x:c r="F8" s="28"/>
    </x:row>
    <x:row r="9">
      <x:c r="A9" s="29" t="str">
        <x:v>Purpose</x:v>
      </x:c>
      <x:c r="B9" s="31" t="str">
        <x:v>QA happy-path test with complete matching data</x:v>
      </x:c>
      <x:c r="C9" s="28"/>
      <x:c r="D9" s="28"/>
      <x:c r="E9" s="28"/>
      <x:c r="F9" s="28"/>
    </x:row>
    <x:row r="10">
      <x:c r="A10" s="28"/>
      <x:c r="B10" s="28"/>
      <x:c r="C10" s="28"/>
      <x:c r="D10" s="28"/>
      <x:c r="E10" s="28"/>
      <x:c r="F10" s="28"/>
    </x:row>
    <x:row r="11">
      <x:c r="A11" s="32" t="str">
        <x:v>QA execution order</x:v>
      </x:c>
      <x:c r="B11" s="28"/>
      <x:c r="C11" s="28"/>
      <x:c r="D11" s="28"/>
      <x:c r="E11" s="28"/>
      <x:c r="F11" s="28"/>
    </x:row>
    <x:row r="12" ht="28" customHeight="1">
      <x:c r="A12" s="26" t="str">
        <x:v>Step</x:v>
      </x:c>
      <x:c r="B12" s="26" t="str">
        <x:v>Source / target</x:v>
      </x:c>
      <x:c r="C12" s="26" t="str">
        <x:v>Required action</x:v>
      </x:c>
      <x:c r="D12" s="26" t="str">
        <x:v>Expected records</x:v>
      </x:c>
      <x:c r="E12" s="26" t="str">
        <x:v>Expected result</x:v>
      </x:c>
      <x:c r="F12" s="26" t="str">
        <x:v>Owner</x:v>
      </x:c>
    </x:row>
    <x:row r="13">
      <x:c r="A13" s="31" t="n">
        <x:v>1</x:v>
      </x:c>
      <x:c r="B13" s="31" t="str">
        <x:v>Claims_Input</x:v>
      </x:c>
      <x:c r="C13" s="31" t="str">
        <x:v>Place exported CSV in QA S3 inbound location</x:v>
      </x:c>
      <x:c r="D13" s="31" t="n">
        <x:v>5</x:v>
      </x:c>
      <x:c r="E13" s="31" t="str">
        <x:v>File and schema validation pass</x:v>
      </x:c>
      <x:c r="F13" s="31" t="str">
        <x:v>Claims Operations</x:v>
      </x:c>
    </x:row>
    <x:row r="14">
      <x:c r="A14" s="31" t="n">
        <x:v>2</x:v>
      </x:c>
      <x:c r="B14" s="31" t="str">
        <x:v>Customers_QA</x:v>
      </x:c>
      <x:c r="C14" s="31" t="str">
        <x:v>Load or confirm matching customer fixtures in QA PostgreSQL</x:v>
      </x:c>
      <x:c r="D14" s="31" t="n">
        <x:v>5</x:v>
      </x:c>
      <x:c r="E14" s="31" t="str">
        <x:v>All customer joins match</x:v>
      </x:c>
      <x:c r="F14" s="31" t="str">
        <x:v>Data Engineering</x:v>
      </x:c>
    </x:row>
    <x:row r="15">
      <x:c r="A15" s="31" t="n">
        <x:v>3</x:v>
      </x:c>
      <x:c r="B15" s="31" t="str">
        <x:v>Policies_QA</x:v>
      </x:c>
      <x:c r="C15" s="31" t="str">
        <x:v>Configure QA policy API fixture responses</x:v>
      </x:c>
      <x:c r="D15" s="31" t="n">
        <x:v>5</x:v>
      </x:c>
      <x:c r="E15" s="31" t="str">
        <x:v>All policy lookups return ACTIVE</x:v>
      </x:c>
      <x:c r="F15" s="31" t="str">
        <x:v>API / Data Engineering</x:v>
      </x:c>
    </x:row>
    <x:row r="16">
      <x:c r="A16" s="31" t="n">
        <x:v>4</x:v>
      </x:c>
      <x:c r="B16" s="31" t="str">
        <x:v>DAG processing</x:v>
      </x:c>
      <x:c r="C16" s="31" t="str">
        <x:v>Run validation, enrichment, and risk scoring</x:v>
      </x:c>
      <x:c r="D16" s="31" t="n">
        <x:v>5</x:v>
      </x:c>
      <x:c r="E16" s="31" t="str">
        <x:v>Five successful, zero rejected</x:v>
      </x:c>
      <x:c r="F16" s="31" t="str">
        <x:v>Airflow</x:v>
      </x:c>
    </x:row>
    <x:row r="17">
      <x:c r="A17" s="31" t="n">
        <x:v>5</x:v>
      </x:c>
      <x:c r="B17" s="31" t="str">
        <x:v>Expected_Kafka</x:v>
      </x:c>
      <x:c r="C17" s="31" t="str">
        <x:v>Compare actual messages with expected values</x:v>
      </x:c>
      <x:c r="D17" s="31" t="n">
        <x:v>5</x:v>
      </x:c>
      <x:c r="E17" s="31" t="str">
        <x:v>Five acknowledgments</x:v>
      </x:c>
      <x:c r="F17" s="31" t="str">
        <x:v>QA Engineering</x:v>
      </x:c>
    </x:row>
    <x:row r="18">
      <x:c r="A18" s="28"/>
      <x:c r="B18" s="28"/>
      <x:c r="C18" s="28"/>
      <x:c r="D18" s="28"/>
      <x:c r="E18" s="28"/>
      <x:c r="F18" s="28"/>
    </x:row>
    <x:row r="19">
      <x:c r="A19" s="27" t="str">
        <x:v>Important: Claims_Input is the inbound claims payload. The customer and policy tabs are QA fixtures for the external PostgreSQL and REST API dependencies. Expected_Kafka is the expected output after enrichment and risk scoring. All names and identifiers are synthetic.</x:v>
      </x:c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</x:sheetData>
  <x:mergeCells>
    <x:mergeCell ref="A1:F1"/>
    <x:mergeCell ref="A11:F11"/>
    <x:mergeCell ref="A19:F21"/>
  </x:mergeCells>
  <x:conditionalFormatting sqref="A13:F17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30" customHeight="1">
      <x:c r="A1" s="20" t="str">
        <x:v>S3 Input | claims_20260911.csv</x:v>
      </x:c>
      <x:c r="B1" s="28"/>
      <x:c r="C1" s="28"/>
      <x:c r="D1" s="28"/>
      <x:c r="E1" s="28"/>
    </x:row>
    <x:row r="2">
      <x:c r="A2" s="28"/>
      <x:c r="B2" s="28"/>
      <x:c r="C2" s="28"/>
      <x:c r="D2" s="28"/>
      <x:c r="E2" s="28"/>
    </x:row>
    <x:row r="3" ht="28" customHeight="1">
      <x:c r="A3" s="26" t="str">
        <x:v>claim_id</x:v>
      </x:c>
      <x:c r="B3" s="26" t="str">
        <x:v>customer_id</x:v>
      </x:c>
      <x:c r="C3" s="26" t="str">
        <x:v>policy_id</x:v>
      </x:c>
      <x:c r="D3" s="26" t="str">
        <x:v>claim_amount</x:v>
      </x:c>
      <x:c r="E3" s="26" t="str">
        <x:v>claim_date</x:v>
      </x:c>
    </x:row>
    <x:row r="4">
      <x:c r="A4" s="31" t="str">
        <x:v>CLM-QA-20260911-001</x:v>
      </x:c>
      <x:c r="B4" s="31" t="str">
        <x:v>CUS-QA-1001</x:v>
      </x:c>
      <x:c r="C4" s="31" t="str">
        <x:v>POL-QA-5001</x:v>
      </x:c>
      <x:c r="D4" s="34" t="n">
        <x:v>1250.75</x:v>
      </x:c>
      <x:c r="E4" s="30" t="n">
        <x:v>46276</x:v>
      </x:c>
    </x:row>
    <x:row r="5">
      <x:c r="A5" s="31" t="str">
        <x:v>CLM-QA-20260911-002</x:v>
      </x:c>
      <x:c r="B5" s="31" t="str">
        <x:v>CUS-QA-1002</x:v>
      </x:c>
      <x:c r="C5" s="31" t="str">
        <x:v>POL-QA-5002</x:v>
      </x:c>
      <x:c r="D5" s="34" t="n">
        <x:v>4899</x:v>
      </x:c>
      <x:c r="E5" s="30" t="n">
        <x:v>46276</x:v>
      </x:c>
    </x:row>
    <x:row r="6">
      <x:c r="A6" s="31" t="str">
        <x:v>CLM-QA-20260911-003</x:v>
      </x:c>
      <x:c r="B6" s="31" t="str">
        <x:v>CUS-QA-1003</x:v>
      </x:c>
      <x:c r="C6" s="31" t="str">
        <x:v>POL-QA-5003</x:v>
      </x:c>
      <x:c r="D6" s="34" t="n">
        <x:v>725.4</x:v>
      </x:c>
      <x:c r="E6" s="30" t="n">
        <x:v>46276</x:v>
      </x:c>
    </x:row>
    <x:row r="7">
      <x:c r="A7" s="31" t="str">
        <x:v>CLM-QA-20260911-004</x:v>
      </x:c>
      <x:c r="B7" s="31" t="str">
        <x:v>CUS-QA-1004</x:v>
      </x:c>
      <x:c r="C7" s="31" t="str">
        <x:v>POL-QA-5004</x:v>
      </x:c>
      <x:c r="D7" s="34" t="n">
        <x:v>9875.25</x:v>
      </x:c>
      <x:c r="E7" s="30" t="n">
        <x:v>46276</x:v>
      </x:c>
    </x:row>
    <x:row r="8">
      <x:c r="A8" s="31" t="str">
        <x:v>CLM-QA-20260911-005</x:v>
      </x:c>
      <x:c r="B8" s="31" t="str">
        <x:v>CUS-QA-1005</x:v>
      </x:c>
      <x:c r="C8" s="31" t="str">
        <x:v>POL-QA-5005</x:v>
      </x:c>
      <x:c r="D8" s="34" t="n">
        <x:v>2150</x:v>
      </x:c>
      <x:c r="E8" s="30" t="n">
        <x:v>46276</x:v>
      </x:c>
    </x:row>
  </x:sheetData>
  <x:mergeCells>
    <x:mergeCell ref="A1:E1"/>
  </x:mergeCells>
  <x:conditionalFormatting sqref="A4:E8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0" t="str">
        <x:v>PostgreSQL Fixture | Customer Data</x:v>
      </x:c>
      <x:c r="B1" s="28"/>
      <x:c r="C1" s="28"/>
      <x:c r="D1" s="28"/>
      <x:c r="E1" s="28"/>
      <x:c r="F1" s="28"/>
    </x:row>
    <x:row r="2">
      <x:c r="A2" s="28"/>
      <x:c r="B2" s="28"/>
      <x:c r="C2" s="28"/>
      <x:c r="D2" s="28"/>
      <x:c r="E2" s="28"/>
      <x:c r="F2" s="28"/>
    </x:row>
    <x:row r="3" ht="28" customHeight="1">
      <x:c r="A3" s="26" t="str">
        <x:v>customer_id</x:v>
      </x:c>
      <x:c r="B3" s="26" t="str">
        <x:v>customer_name</x:v>
      </x:c>
      <x:c r="C3" s="26" t="str">
        <x:v>date_of_birth</x:v>
      </x:c>
      <x:c r="D3" s="26" t="str">
        <x:v>state</x:v>
      </x:c>
      <x:c r="E3" s="26" t="str">
        <x:v>customer_since</x:v>
      </x:c>
      <x:c r="F3" s="26" t="str">
        <x:v>customer_status</x:v>
      </x:c>
    </x:row>
    <x:row r="4">
      <x:c r="A4" s="31" t="str">
        <x:v>CUS-QA-1001</x:v>
      </x:c>
      <x:c r="B4" s="31" t="str">
        <x:v>Olivia Martin</x:v>
      </x:c>
      <x:c r="C4" s="30" t="n">
        <x:v>32247</x:v>
      </x:c>
      <x:c r="D4" s="31" t="str">
        <x:v>GA</x:v>
      </x:c>
      <x:c r="E4" s="30" t="n">
        <x:v>43256</x:v>
      </x:c>
      <x:c r="F4" s="31" t="str">
        <x:v>ACTIVE</x:v>
      </x:c>
    </x:row>
    <x:row r="5">
      <x:c r="A5" s="31" t="str">
        <x:v>CUS-QA-1002</x:v>
      </x:c>
      <x:c r="B5" s="31" t="str">
        <x:v>Ethan Walker</x:v>
      </x:c>
      <x:c r="C5" s="30" t="n">
        <x:v>29182</x:v>
      </x:c>
      <x:c r="D5" s="31" t="str">
        <x:v>GA</x:v>
      </x:c>
      <x:c r="E5" s="30" t="n">
        <x:v>42047</x:v>
      </x:c>
      <x:c r="F5" s="31" t="str">
        <x:v>ACTIVE</x:v>
      </x:c>
    </x:row>
    <x:row r="6">
      <x:c r="A6" s="31" t="str">
        <x:v>CUS-QA-1003</x:v>
      </x:c>
      <x:c r="B6" s="31" t="str">
        <x:v>Sophia Nguyen</x:v>
      </x:c>
      <x:c r="C6" s="30" t="n">
        <x:v>34183</x:v>
      </x:c>
      <x:c r="D6" s="31" t="str">
        <x:v>FL</x:v>
      </x:c>
      <x:c r="E6" s="30" t="n">
        <x:v>44458</x:v>
      </x:c>
      <x:c r="F6" s="31" t="str">
        <x:v>ACTIVE</x:v>
      </x:c>
    </x:row>
    <x:row r="7">
      <x:c r="A7" s="31" t="str">
        <x:v>CUS-QA-1004</x:v>
      </x:c>
      <x:c r="B7" s="31" t="str">
        <x:v>Noah Thompson</x:v>
      </x:c>
      <x:c r="C7" s="30" t="n">
        <x:v>31077</x:v>
      </x:c>
      <x:c r="D7" s="31" t="str">
        <x:v>TX</x:v>
      </x:c>
      <x:c r="E7" s="30" t="n">
        <x:v>41244</x:v>
      </x:c>
      <x:c r="F7" s="31" t="str">
        <x:v>ACTIVE</x:v>
      </x:c>
    </x:row>
    <x:row r="8">
      <x:c r="A8" s="31" t="str">
        <x:v>CUS-QA-1005</x:v>
      </x:c>
      <x:c r="B8" s="31" t="str">
        <x:v>Ava Robinson</x:v>
      </x:c>
      <x:c r="C8" s="30" t="n">
        <x:v>33041</x:v>
      </x:c>
      <x:c r="D8" s="31" t="str">
        <x:v>NC</x:v>
      </x:c>
      <x:c r="E8" s="30" t="n">
        <x:v>43917</x:v>
      </x:c>
      <x:c r="F8" s="31" t="str">
        <x:v>ACTIVE</x:v>
      </x:c>
    </x:row>
  </x:sheetData>
  <x:mergeCells>
    <x:mergeCell ref="A1:F1"/>
  </x:mergeCells>
  <x:conditionalFormatting sqref="A4:F8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20" t="str">
        <x:v>REST API Fixture | Policy Data</x:v>
      </x:c>
      <x:c r="B1" s="28"/>
      <x:c r="C1" s="28"/>
      <x:c r="D1" s="28"/>
      <x:c r="E1" s="28"/>
      <x:c r="F1" s="28"/>
      <x:c r="G1" s="28"/>
    </x:row>
    <x:row r="2">
      <x:c r="A2" s="28"/>
      <x:c r="B2" s="28"/>
      <x:c r="C2" s="28"/>
      <x:c r="D2" s="28"/>
      <x:c r="E2" s="28"/>
      <x:c r="F2" s="28"/>
      <x:c r="G2" s="28"/>
    </x:row>
    <x:row r="3" ht="28" customHeight="1">
      <x:c r="A3" s="26" t="str">
        <x:v>policy_id</x:v>
      </x:c>
      <x:c r="B3" s="26" t="str">
        <x:v>customer_id</x:v>
      </x:c>
      <x:c r="C3" s="26" t="str">
        <x:v>policy_type</x:v>
      </x:c>
      <x:c r="D3" s="26" t="str">
        <x:v>coverage_limit</x:v>
      </x:c>
      <x:c r="E3" s="26" t="str">
        <x:v>effective_date</x:v>
      </x:c>
      <x:c r="F3" s="26" t="str">
        <x:v>expiration_date</x:v>
      </x:c>
      <x:c r="G3" s="26" t="str">
        <x:v>policy_status</x:v>
      </x:c>
    </x:row>
    <x:row r="4">
      <x:c r="A4" s="31" t="str">
        <x:v>POL-QA-5001</x:v>
      </x:c>
      <x:c r="B4" s="31" t="str">
        <x:v>CUS-QA-1001</x:v>
      </x:c>
      <x:c r="C4" s="31" t="str">
        <x:v>AUTO</x:v>
      </x:c>
      <x:c r="D4" s="34" t="n">
        <x:v>50000</x:v>
      </x:c>
      <x:c r="E4" s="30" t="n">
        <x:v>46023</x:v>
      </x:c>
      <x:c r="F4" s="30" t="n">
        <x:v>46387</x:v>
      </x:c>
      <x:c r="G4" s="31" t="str">
        <x:v>ACTIVE</x:v>
      </x:c>
    </x:row>
    <x:row r="5">
      <x:c r="A5" s="31" t="str">
        <x:v>POL-QA-5002</x:v>
      </x:c>
      <x:c r="B5" s="31" t="str">
        <x:v>CUS-QA-1002</x:v>
      </x:c>
      <x:c r="C5" s="31" t="str">
        <x:v>HOME</x:v>
      </x:c>
      <x:c r="D5" s="34" t="n">
        <x:v>350000</x:v>
      </x:c>
      <x:c r="E5" s="30" t="n">
        <x:v>46082</x:v>
      </x:c>
      <x:c r="F5" s="30" t="n">
        <x:v>46446</x:v>
      </x:c>
      <x:c r="G5" s="31" t="str">
        <x:v>ACTIVE</x:v>
      </x:c>
    </x:row>
    <x:row r="6">
      <x:c r="A6" s="31" t="str">
        <x:v>POL-QA-5003</x:v>
      </x:c>
      <x:c r="B6" s="31" t="str">
        <x:v>CUS-QA-1003</x:v>
      </x:c>
      <x:c r="C6" s="31" t="str">
        <x:v>AUTO</x:v>
      </x:c>
      <x:c r="D6" s="34" t="n">
        <x:v>75000</x:v>
      </x:c>
      <x:c r="E6" s="30" t="n">
        <x:v>46157</x:v>
      </x:c>
      <x:c r="F6" s="30" t="n">
        <x:v>46521</x:v>
      </x:c>
      <x:c r="G6" s="31" t="str">
        <x:v>ACTIVE</x:v>
      </x:c>
    </x:row>
    <x:row r="7">
      <x:c r="A7" s="31" t="str">
        <x:v>POL-QA-5004</x:v>
      </x:c>
      <x:c r="B7" s="31" t="str">
        <x:v>CUS-QA-1004</x:v>
      </x:c>
      <x:c r="C7" s="31" t="str">
        <x:v>HOME</x:v>
      </x:c>
      <x:c r="D7" s="34" t="n">
        <x:v>500000</x:v>
      </x:c>
      <x:c r="E7" s="30" t="n">
        <x:v>46063</x:v>
      </x:c>
      <x:c r="F7" s="30" t="n">
        <x:v>46427</x:v>
      </x:c>
      <x:c r="G7" s="31" t="str">
        <x:v>ACTIVE</x:v>
      </x:c>
    </x:row>
    <x:row r="8">
      <x:c r="A8" s="31" t="str">
        <x:v>POL-QA-5005</x:v>
      </x:c>
      <x:c r="B8" s="31" t="str">
        <x:v>CUS-QA-1005</x:v>
      </x:c>
      <x:c r="C8" s="31" t="str">
        <x:v>RENTERS</x:v>
      </x:c>
      <x:c r="D8" s="34" t="n">
        <x:v>50000</x:v>
      </x:c>
      <x:c r="E8" s="30" t="n">
        <x:v>46204</x:v>
      </x:c>
      <x:c r="F8" s="30" t="n">
        <x:v>46568</x:v>
      </x:c>
      <x:c r="G8" s="31" t="str">
        <x:v>ACTIVE</x:v>
      </x:c>
    </x:row>
  </x:sheetData>
  <x:mergeCells>
    <x:mergeCell ref="A1:G1"/>
  </x:mergeCells>
  <x:conditionalFormatting sqref="A4:G8">
    <x:cfRule type="expression" dxfId="3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0" customHeight="1">
      <x:c r="A1" s="20" t="str">
        <x:v>Expected Kafka Output | insurance.claims.processed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</x:row>
    <x:row r="3" ht="28" customHeight="1">
      <x:c r="A3" s="26" t="str">
        <x:v>claim_id</x:v>
      </x:c>
      <x:c r="B3" s="26" t="str">
        <x:v>customer_id</x:v>
      </x:c>
      <x:c r="C3" s="26" t="str">
        <x:v>policy_id</x:v>
      </x:c>
      <x:c r="D3" s="26" t="str">
        <x:v>claim_date</x:v>
      </x:c>
      <x:c r="E3" s="26" t="str">
        <x:v>claim_amount</x:v>
      </x:c>
      <x:c r="F3" s="26" t="str">
        <x:v>risk_score</x:v>
      </x:c>
      <x:c r="G3" s="26" t="str">
        <x:v>processing_status</x:v>
      </x:c>
      <x:c r="H3" s="26" t="str">
        <x:v>processing_timestamp</x:v>
      </x:c>
      <x:c r="I3" s="26" t="str">
        <x:v>dag_run_id</x:v>
      </x:c>
      <x:c r="J3" s="26" t="str">
        <x:v>schema_version</x:v>
      </x:c>
    </x:row>
    <x:row r="4">
      <x:c r="A4" s="31" t="str">
        <x:v>CLM-QA-20260911-001</x:v>
      </x:c>
      <x:c r="B4" s="31" t="str">
        <x:v>CUS-QA-1001</x:v>
      </x:c>
      <x:c r="C4" s="31" t="str">
        <x:v>POL-QA-5001</x:v>
      </x:c>
      <x:c r="D4" s="30" t="n">
        <x:v>46276</x:v>
      </x:c>
      <x:c r="E4" s="34" t="n">
        <x:v>1250.75</x:v>
      </x:c>
      <x:c r="F4" s="36" t="n">
        <x:v>18</x:v>
      </x:c>
      <x:c r="G4" s="31" t="str">
        <x:v>SUCCESS</x:v>
      </x:c>
      <x:c r="H4" s="31" t="str">
        <x:v>QA_RUN_TIME</x:v>
      </x:c>
      <x:c r="I4" s="31" t="str">
        <x:v>manual__2026-09-11_qa</x:v>
      </x:c>
      <x:c r="J4" s="31" t="str">
        <x:v>1.0</x:v>
      </x:c>
    </x:row>
    <x:row r="5">
      <x:c r="A5" s="31" t="str">
        <x:v>CLM-QA-20260911-002</x:v>
      </x:c>
      <x:c r="B5" s="31" t="str">
        <x:v>CUS-QA-1002</x:v>
      </x:c>
      <x:c r="C5" s="31" t="str">
        <x:v>POL-QA-5002</x:v>
      </x:c>
      <x:c r="D5" s="30" t="n">
        <x:v>46276</x:v>
      </x:c>
      <x:c r="E5" s="34" t="n">
        <x:v>4899</x:v>
      </x:c>
      <x:c r="F5" s="36" t="n">
        <x:v>35</x:v>
      </x:c>
      <x:c r="G5" s="31" t="str">
        <x:v>SUCCESS</x:v>
      </x:c>
      <x:c r="H5" s="31" t="str">
        <x:v>QA_RUN_TIME</x:v>
      </x:c>
      <x:c r="I5" s="31" t="str">
        <x:v>manual__2026-09-11_qa</x:v>
      </x:c>
      <x:c r="J5" s="31" t="str">
        <x:v>1.0</x:v>
      </x:c>
    </x:row>
    <x:row r="6">
      <x:c r="A6" s="31" t="str">
        <x:v>CLM-QA-20260911-003</x:v>
      </x:c>
      <x:c r="B6" s="31" t="str">
        <x:v>CUS-QA-1003</x:v>
      </x:c>
      <x:c r="C6" s="31" t="str">
        <x:v>POL-QA-5003</x:v>
      </x:c>
      <x:c r="D6" s="30" t="n">
        <x:v>46276</x:v>
      </x:c>
      <x:c r="E6" s="34" t="n">
        <x:v>725.4</x:v>
      </x:c>
      <x:c r="F6" s="36" t="n">
        <x:v>12</x:v>
      </x:c>
      <x:c r="G6" s="31" t="str">
        <x:v>SUCCESS</x:v>
      </x:c>
      <x:c r="H6" s="31" t="str">
        <x:v>QA_RUN_TIME</x:v>
      </x:c>
      <x:c r="I6" s="31" t="str">
        <x:v>manual__2026-09-11_qa</x:v>
      </x:c>
      <x:c r="J6" s="31" t="str">
        <x:v>1.0</x:v>
      </x:c>
    </x:row>
    <x:row r="7">
      <x:c r="A7" s="31" t="str">
        <x:v>CLM-QA-20260911-004</x:v>
      </x:c>
      <x:c r="B7" s="31" t="str">
        <x:v>CUS-QA-1004</x:v>
      </x:c>
      <x:c r="C7" s="31" t="str">
        <x:v>POL-QA-5004</x:v>
      </x:c>
      <x:c r="D7" s="30" t="n">
        <x:v>46276</x:v>
      </x:c>
      <x:c r="E7" s="34" t="n">
        <x:v>9875.25</x:v>
      </x:c>
      <x:c r="F7" s="36" t="n">
        <x:v>52</x:v>
      </x:c>
      <x:c r="G7" s="31" t="str">
        <x:v>SUCCESS</x:v>
      </x:c>
      <x:c r="H7" s="31" t="str">
        <x:v>QA_RUN_TIME</x:v>
      </x:c>
      <x:c r="I7" s="31" t="str">
        <x:v>manual__2026-09-11_qa</x:v>
      </x:c>
      <x:c r="J7" s="31" t="str">
        <x:v>1.0</x:v>
      </x:c>
    </x:row>
    <x:row r="8">
      <x:c r="A8" s="31" t="str">
        <x:v>CLM-QA-20260911-005</x:v>
      </x:c>
      <x:c r="B8" s="31" t="str">
        <x:v>CUS-QA-1005</x:v>
      </x:c>
      <x:c r="C8" s="31" t="str">
        <x:v>POL-QA-5005</x:v>
      </x:c>
      <x:c r="D8" s="30" t="n">
        <x:v>46276</x:v>
      </x:c>
      <x:c r="E8" s="34" t="n">
        <x:v>2150</x:v>
      </x:c>
      <x:c r="F8" s="36" t="n">
        <x:v>24</x:v>
      </x:c>
      <x:c r="G8" s="31" t="str">
        <x:v>SUCCESS</x:v>
      </x:c>
      <x:c r="H8" s="31" t="str">
        <x:v>QA_RUN_TIME</x:v>
      </x:c>
      <x:c r="I8" s="31" t="str">
        <x:v>manual__2026-09-11_qa</x:v>
      </x:c>
      <x:c r="J8" s="31" t="str">
        <x:v>1.0</x:v>
      </x:c>
    </x:row>
  </x:sheetData>
  <x:mergeCells>
    <x:mergeCell ref="A1:J1"/>
  </x:mergeCells>
  <x:conditionalFormatting sqref="A4:J8">
    <x:cfRule type="expression" dxfId="4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20" t="str">
        <x:v>QA Validation Checks</x:v>
      </x:c>
      <x:c r="B1" s="28"/>
      <x:c r="C1" s="28"/>
      <x:c r="D1" s="28"/>
    </x:row>
    <x:row r="2">
      <x:c r="A2" s="28"/>
      <x:c r="B2" s="28"/>
      <x:c r="C2" s="28"/>
      <x:c r="D2" s="28"/>
    </x:row>
    <x:row r="3" ht="28" customHeight="1">
      <x:c r="A3" s="26" t="str">
        <x:v>Check</x:v>
      </x:c>
      <x:c r="B3" s="26" t="str">
        <x:v>Expected</x:v>
      </x:c>
      <x:c r="C3" s="26" t="str">
        <x:v>Actual</x:v>
      </x:c>
      <x:c r="D3" s="26" t="str">
        <x:v>Status</x:v>
      </x:c>
    </x:row>
    <x:row r="4">
      <x:c r="A4" s="31" t="str">
        <x:v>Input record count</x:v>
      </x:c>
      <x:c r="B4" s="31" t="n">
        <x:v>5</x:v>
      </x:c>
      <x:c r="C4" s="31" t="n">
        <x:f>COUNTA(Claims_Input!A4:A8)</x:f>
        <x:v>5</x:v>
      </x:c>
      <x:c r="D4" s="31" t="str">
        <x:f>IF(B4=C4,"PASS","FAIL")</x:f>
        <x:v>PASS</x:v>
      </x:c>
    </x:row>
    <x:row r="5">
      <x:c r="A5" s="31" t="str">
        <x:v>Unique claim IDs</x:v>
      </x:c>
      <x:c r="B5" s="31" t="n">
        <x:v>5</x:v>
      </x:c>
      <x:c r="C5" s="31" t="n">
        <x:f>IF(COUNTIF(Claims_Input!A4:A8,Claims_Input!A4)=1,1,0)+IF(COUNTIF(Claims_Input!A4:A8,Claims_Input!A5)=1,1,0)+IF(COUNTIF(Claims_Input!A4:A8,Claims_Input!A6)=1,1,0)+IF(COUNTIF(Claims_Input!A4:A8,Claims_Input!A7)=1,1,0)+IF(COUNTIF(Claims_Input!A4:A8,Claims_Input!A8)=1,1,0)</x:f>
        <x:v>5</x:v>
      </x:c>
      <x:c r="D5" s="31" t="str">
        <x:f>IF(B5=C5,"PASS","FAIL")</x:f>
        <x:v>PASS</x:v>
      </x:c>
    </x:row>
    <x:row r="6">
      <x:c r="A6" s="31" t="str">
        <x:v>Customer fixture count</x:v>
      </x:c>
      <x:c r="B6" s="31" t="n">
        <x:v>5</x:v>
      </x:c>
      <x:c r="C6" s="31" t="n">
        <x:f>COUNTA(Customers_QA!A4:A8)</x:f>
        <x:v>5</x:v>
      </x:c>
      <x:c r="D6" s="31" t="str">
        <x:f>IF(B6=C6,"PASS","FAIL")</x:f>
        <x:v>PASS</x:v>
      </x:c>
    </x:row>
    <x:row r="7">
      <x:c r="A7" s="31" t="str">
        <x:v>Policy fixture count</x:v>
      </x:c>
      <x:c r="B7" s="31" t="n">
        <x:v>5</x:v>
      </x:c>
      <x:c r="C7" s="31" t="n">
        <x:f>COUNTA(Policies_QA!A4:A8)</x:f>
        <x:v>5</x:v>
      </x:c>
      <x:c r="D7" s="31" t="str">
        <x:f>IF(B7=C7,"PASS","FAIL")</x:f>
        <x:v>PASS</x:v>
      </x:c>
    </x:row>
    <x:row r="8">
      <x:c r="A8" s="31" t="str">
        <x:v>Expected Kafka count</x:v>
      </x:c>
      <x:c r="B8" s="31" t="n">
        <x:v>5</x:v>
      </x:c>
      <x:c r="C8" s="31" t="n">
        <x:f>COUNTA(Expected_Kafka!A4:A8)</x:f>
        <x:v>5</x:v>
      </x:c>
      <x:c r="D8" s="31" t="str">
        <x:f>IF(B8=C8,"PASS","FAIL")</x:f>
        <x:v>PASS</x:v>
      </x:c>
    </x:row>
    <x:row r="9">
      <x:c r="A9" s="31" t="str">
        <x:v>Successful status count</x:v>
      </x:c>
      <x:c r="B9" s="31" t="n">
        <x:v>5</x:v>
      </x:c>
      <x:c r="C9" s="31" t="n">
        <x:f>COUNTIF(Expected_Kafka!G4:G8,"SUCCESS")</x:f>
        <x:v>5</x:v>
      </x:c>
      <x:c r="D9" s="31" t="str">
        <x:f>IF(B9=C9,"PASS","FAIL")</x:f>
        <x:v>PASS</x:v>
      </x:c>
    </x:row>
    <x:row r="10">
      <x:c r="A10" s="31" t="str">
        <x:v>Rejected status count</x:v>
      </x:c>
      <x:c r="B10" s="31" t="n">
        <x:v>0</x:v>
      </x:c>
      <x:c r="C10" s="31" t="n">
        <x:f>COUNTIF(Expected_Kafka!G4:G8,"REJECTED")</x:f>
        <x:v>0</x:v>
      </x:c>
      <x:c r="D10" s="31" t="str">
        <x:f>IF(B10=C10,"PASS","FAIL")</x:f>
        <x:v>PASS</x:v>
      </x:c>
    </x:row>
    <x:row r="11">
      <x:c r="A11" s="31" t="str">
        <x:v>All claims dated 2026-09-11</x:v>
      </x:c>
      <x:c r="B11" s="31" t="n">
        <x:v>5</x:v>
      </x:c>
      <x:c r="C11" s="31" t="n">
        <x:f>COUNTIF(Claims_Input!E4:E8,DATE(2026,9,11))</x:f>
        <x:v>5</x:v>
      </x:c>
      <x:c r="D11" s="31" t="str">
        <x:f>IF(B11=C11,"PASS","FAIL")</x:f>
        <x:v>PASS</x:v>
      </x:c>
    </x:row>
  </x:sheetData>
  <x:mergeCells>
    <x:mergeCell ref="A1:D1"/>
  </x:mergeCells>
  <x:conditionalFormatting sqref="A4:D11">
    <x:cfRule type="expression" dxfId="5" priority="1">
      <x:formula>MOD(ROW(),2)=0</x:formula>
    </x:cfRule>
  </x:conditionalFormatting>
  <x:conditionalFormatting sqref="D4:D11">
    <x:cfRule type="containsText" dxfId="6" priority="2" operator="containsText" text="PASS"/>
    <x:cfRule type="containsText" dxfId="7" priority="3" operator="containsText" text="FAIL"/>
  </x:conditionalFormatting>
  <x:pageMargins left="0.7" right="0.7" top="0.75" bottom="0.75" header="0.3" footer="0.3"/>
</x:worksheet>
</file>